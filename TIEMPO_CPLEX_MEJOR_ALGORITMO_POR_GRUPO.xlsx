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Tiempo CPLEX por instancia" sheetId="2" state="visible" r:id="rId2"/>
    <sheet xmlns:r="http://schemas.openxmlformats.org/officeDocument/2006/relationships" name="Tiempo total algoritmo" sheetId="3" state="visible" r:id="rId3"/>
    <sheet xmlns:r="http://schemas.openxmlformats.org/officeDocument/2006/relationships" name="Mejor algoritmo por grupo" sheetId="4" state="visible" r:id="rId4"/>
    <sheet xmlns:r="http://schemas.openxmlformats.org/officeDocument/2006/relationships" name="Detalle por instancia"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000"/>
  </numFmts>
  <fonts count="4">
    <font>
      <name val="Calibri"/>
      <family val="2"/>
      <color theme="1"/>
      <sz val="11"/>
      <scheme val="minor"/>
    </font>
    <font>
      <b val="1"/>
    </font>
    <font>
      <b val="1"/>
      <sz val="14"/>
    </font>
    <font>
      <b val="1"/>
      <sz val="12"/>
    </font>
  </fonts>
  <fills count="3">
    <fill>
      <patternFill/>
    </fill>
    <fill>
      <patternFill patternType="gray125"/>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
    <xf numFmtId="0" fontId="0" fillId="0" borderId="0" pivotButton="0" quotePrefix="0" xfId="0"/>
    <xf numFmtId="0" fontId="2" fillId="0" borderId="0" pivotButton="0" quotePrefix="0" xfId="0"/>
    <xf numFmtId="0" fontId="0" fillId="0" borderId="0" applyAlignment="1" pivotButton="0" quotePrefix="0" xfId="0">
      <alignment wrapText="1"/>
    </xf>
    <xf numFmtId="0" fontId="3" fillId="2" borderId="0" pivotButton="0" quotePrefix="0" xfId="0"/>
    <xf numFmtId="0" fontId="0" fillId="2"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165" fontId="1" fillId="2" borderId="1" applyAlignment="1" pivotButton="0" quotePrefix="0" xfId="0">
      <alignment horizontal="center" vertical="center" wrapText="1"/>
    </xf>
    <xf numFmtId="0" fontId="0" fillId="0" borderId="1" pivotButton="0" quotePrefix="0" xfId="0"/>
    <xf numFmtId="165" fontId="0" fillId="0" borderId="1" pivotButton="0" quotePrefix="0" xfId="0"/>
    <xf numFmtId="0" fontId="1" fillId="0" borderId="1" pivotButton="0" quotePrefix="0" xfId="0"/>
    <xf numFmtId="165" fontId="1" fillId="0" borderId="1" pivotButton="0" quotePrefix="0" xfId="0"/>
    <xf numFmtId="164" fontId="0" fillId="0" borderId="1" pivotButton="0" quotePrefix="0" xfId="0"/>
    <xf numFmtId="166"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10" customWidth="1" min="2" max="2"/>
  </cols>
  <sheetData>
    <row r="1">
      <c r="A1" s="1" t="inlineStr">
        <is>
          <t>Tiempo de ejecución del mejor algoritmo generado por cada condición experimental</t>
        </is>
      </c>
    </row>
    <row r="2" ht="35" customHeight="1">
      <c r="A2" s="2" t="inlineStr">
        <is>
          <t>Tesis de Magíster, Matías Yáñez (USACH). Generación automática de algoritmos (GP) para el VRPSPD con un terminal exacto (CPLEX) de presupuesto acotado. Datos extraídos directamente de los archivos de salida del experimento.</t>
        </is>
      </c>
    </row>
    <row r="3"/>
    <row r="4">
      <c r="A4" s="3" t="inlineStr">
        <is>
          <t>1. Qué contiene este archivo</t>
        </is>
      </c>
      <c r="B4" s="4" t="n"/>
    </row>
    <row r="5" ht="45" customHeight="1">
      <c r="A5" s="5" t="inlineStr">
        <is>
          <t>Pregunta que responde</t>
        </is>
      </c>
      <c r="B5" s="6" t="inlineStr">
        <is>
          <t>¿Cuánto tiempo tarda el MEJOR algoritmo generado en cada condición experimental en resolver cada una de las 8 instancias, y cuánto de ese tiempo corresponde a CPLEX? Se compara contra el tiempo que tarda CPLEX puro en resolver la misma instancia de forma exacta (baseline).</t>
        </is>
      </c>
    </row>
    <row r="6" ht="60" customHeight="1">
      <c r="A6" s="5" t="inlineStr">
        <is>
          <t>Condiciones experimentales</t>
        </is>
      </c>
      <c r="B6" s="6" t="inlineStr">
        <is>
          <t>Seis grupos, definidos por el presupuesto de tiempo que el terminal CPLEX puede usar en cada instancia, como porcentaje del tiempo baseline de esa instancia: B0 = 0 % (sin CPLEX, no aparece aquí porque su tiempo de CPLEX es cero), B10 = 10 %, B25 = 25 %, B50 = 50 %, B75 = 75 %, B100 = 100 %. En las carpetas del experimento: grupo1 = B10, grupo2 = B25, grupo3 = B50, grupo4 = B75, grupo5 = B100.</t>
        </is>
      </c>
    </row>
    <row r="7" ht="60" customHeight="1">
      <c r="A7" s="5" t="inlineStr">
        <is>
          <t>Qué es 'el mejor algoritmo'</t>
        </is>
      </c>
      <c r="B7" s="6" t="inlineStr">
        <is>
          <t>Cada condición se ejecutó 5 veces (5 evoluciones independientes de 100 generaciones y 50 individuos). El mejor algoritmo de una condición es el individuo con menor BestERP (error relativo promedio sobre las 8 instancias) observado en CUALQUIER generación de CUALQUIERA de las 5 ejecuciones. Es el mismo individuo que reporta la Tabla 'Mejor individuo observado por condición' del Capítulo 4.</t>
        </is>
      </c>
    </row>
    <row r="8" ht="45" customHeight="1">
      <c r="A8" s="5" t="inlineStr">
        <is>
          <t>Instancias</t>
        </is>
      </c>
      <c r="B8" s="6" t="inlineStr">
        <is>
          <t>Las 8 instancias del protocolo (conjunto 3C, 20 clientes, capacidades 50/66/80). Son las mismas usadas para evolucionar y para medir. El baseline es el tiempo de CPLEX puro resolviendo cada instancia hasta el óptimo.</t>
        </is>
      </c>
    </row>
    <row r="9"/>
    <row r="10">
      <c r="A10" s="3" t="inlineStr">
        <is>
          <t>2. Las dos medidas de tiempo (importante)</t>
        </is>
      </c>
      <c r="B10" s="4" t="n"/>
    </row>
    <row r="11" ht="75" customHeight="1">
      <c r="A11" s="5" t="inlineStr">
        <is>
          <t>Tiempo total del algoritmo (hoja 'Tiempo total algoritmo')</t>
        </is>
      </c>
      <c r="B11" s="6" t="inlineStr">
        <is>
          <t>Tiempo de reloj de pared desde que el algoritmo generado empieza a ejecutarse sobre una instancia hasta que termina. Incluye TODO el árbol: heurísticas constructivas, búsqueda local, llamadas a CPLEX y reparación. Es la medida directa de 'cuánto tarda el algoritmo'. Se mide con System.nanoTime() dentro del propio hilo de evaluación, por lo que su atribución al individuo es confiable. Fuente: job.M.MISPResults.out, columna 3 (milisegundos).</t>
        </is>
      </c>
    </row>
    <row r="12" ht="60" customHeight="1">
      <c r="A12" s="5" t="inlineStr">
        <is>
          <t>Tiempo de CPLEX (hoja 'Tiempo CPLEX por instancia')</t>
        </is>
      </c>
      <c r="B12" s="6" t="inlineStr">
        <is>
          <t>Solo el tiempo consumido por el solver CPLEX dentro del algoritmo, sumando todas las llamadas parciales que el árbol hizo al evaluar la instancia. Se mide en tiempo de CPU (parámetro ClockType=1 de CPLEX, con Threads=2), NO en reloj de pared. Es la medida que usa la Tabla de ganancia en tiempo del Capítulo 4, y reproduce exactamente sus valores. Fuente: job.M.CplexUsage.detailed.csv.</t>
        </is>
      </c>
    </row>
    <row r="13" ht="60" customHeight="1">
      <c r="A13" s="5" t="inlineStr">
        <is>
          <t>Por qué el tiempo de CPLEX puede superar al tiempo total</t>
        </is>
      </c>
      <c r="B13" s="6" t="inlineStr">
        <is>
          <t>Porque están en relojes distintos. El tiempo de CPLEX es CPU acumulado con 2 hilos de CPLEX, en un proceso donde además se evaluaban 6 individuos en paralelo; el tiempo total es reloj de pared. En una misma instancia el tiempo de CPLEX (CPU) puede ser mayor que el tiempo total (pared). Por eso la comparación 'cuánto tarda el algoritmo' debe leerse en la hoja 'Tiempo total algoritmo'.</t>
        </is>
      </c>
    </row>
    <row r="14" ht="45" customHeight="1">
      <c r="A14" s="5" t="inlineStr">
        <is>
          <t>Condición de medición</t>
        </is>
      </c>
      <c r="B14" s="6" t="inlineStr">
        <is>
          <t>Los tiempos se midieron con 6 individuos evaluándose simultáneamente en la misma máquina (evalthreads=6). Con contención de CPU, el tiempo total medido es una cota superior del tiempo que tardaría el algoritmo ejecutándose solo. La ganancia frente al baseline es, por tanto, conservadora.</t>
        </is>
      </c>
    </row>
    <row r="15"/>
    <row r="16">
      <c r="A16" s="3" t="inlineStr">
        <is>
          <t>3. Guía hoja por hoja</t>
        </is>
      </c>
      <c r="B16" s="4" t="n"/>
    </row>
    <row r="17" ht="60" customHeight="1">
      <c r="A17" s="5" t="inlineStr">
        <is>
          <t>Tiempo CPLEX por instancia</t>
        </is>
      </c>
      <c r="B17" s="6" t="inlineStr">
        <is>
          <t>Tabla resumen: filas = 8 instancias; columnas = baseline y las 5 condiciones híbridas. Cada celda es el tiempo de CPLEX (s) que usó el mejor algoritmo de esa condición en esa instancia. Al pie: total, ganancia en segundos (baseline menos total) y ganancia porcentual. Coincide con la Tabla de ganancia del Capítulo 4.</t>
        </is>
      </c>
    </row>
    <row r="18" ht="30" customHeight="1">
      <c r="A18" s="5" t="inlineStr">
        <is>
          <t>Tiempo total algoritmo</t>
        </is>
      </c>
      <c r="B18" s="6" t="inlineStr">
        <is>
          <t>Misma estructura que la anterior, pero con el tiempo total de ejecución del algoritmo (reloj de pared, s). Esta es la hoja que responde 'cuánto tarda el mejor algoritmo en resolver cada instancia'.</t>
        </is>
      </c>
    </row>
    <row r="19" ht="60" customHeight="1">
      <c r="A19" s="5" t="inlineStr">
        <is>
          <t>Mejor algoritmo por grupo</t>
        </is>
      </c>
      <c r="B19" s="6" t="inlineStr">
        <is>
          <t>Una fila por condición. Identifica al mejor algoritmo (en qué ejecución y generación apareció, su identificador interno en ECJ) y sus totales sobre las 8 instancias: BestERP, BestHits (instancias en que igualó la solución de referencia), tamaño del árbol, número de llamadas a CPLEX, tiempo de CPLEX total y tiempo total de ejecución.</t>
        </is>
      </c>
    </row>
    <row r="20" ht="45" customHeight="1">
      <c r="A20" s="5" t="inlineStr">
        <is>
          <t>Detalle por instancia</t>
        </is>
      </c>
      <c r="B20" s="6" t="inlineStr">
        <is>
          <t>Una fila por cada par (condición, instancia): 5 x 8 = 40 filas. Es la tabla de origen de las dos hojas resumen. Incluye la calidad de la solución (óptimo, costo obtenido, error relativo), el número de llamadas a CPLEX, ambos tiempos y el baseline.</t>
        </is>
      </c>
    </row>
    <row r="21"/>
    <row r="22">
      <c r="A22" s="3" t="inlineStr">
        <is>
          <t>4. Glosario de columnas</t>
        </is>
      </c>
      <c r="B22" s="4" t="n"/>
    </row>
    <row r="23" ht="30" customHeight="1">
      <c r="A23" s="5" t="inlineStr">
        <is>
          <t>Baseline CPLEX (s)</t>
        </is>
      </c>
      <c r="B23" s="6" t="inlineStr">
        <is>
          <t>Tiempo de reloj de pared que tardó CPLEX puro en resolver la instancia hasta el óptimo (out/baseline/cplex_baseline_results.csv). Referencia de comparación.</t>
        </is>
      </c>
    </row>
    <row r="24" ht="30" customHeight="1">
      <c r="A24" s="5" t="inlineStr">
        <is>
          <t>Ejecución (1-5)</t>
        </is>
      </c>
      <c r="B24" s="6" t="inlineStr">
        <is>
          <t>Cuál de las 5 evoluciones independientes de la condición contiene al mejor algoritmo. Numeración 1-5 como en la tesis; la carpeta correspondiente es evolution0-4.</t>
        </is>
      </c>
    </row>
    <row r="25" ht="30" customHeight="1">
      <c r="A25" s="5" t="inlineStr">
        <is>
          <t>Gen (hoja) / Gen (archivo)</t>
        </is>
      </c>
      <c r="B25" s="6" t="inlineStr">
        <is>
          <t>Generación en que apareció el mejor algoritmo. Las hojas 'Estadísticas Promedio y Mejor' numeran 1-100; los archivos crudos numeran 0-99. Gen archivo = Gen hoja - 1.</t>
        </is>
      </c>
    </row>
    <row r="26" ht="30" customHeight="1">
      <c r="A26" s="5" t="inlineStr">
        <is>
          <t>BestERP</t>
        </is>
      </c>
      <c r="B26" s="6" t="inlineStr">
        <is>
          <t>Error relativo promedio del algoritmo sobre las 8 instancias: promedio de |costo obtenido - óptimo| / óptimo. 0 = óptimo en todas.</t>
        </is>
      </c>
    </row>
    <row r="27" ht="30" customHeight="1">
      <c r="A27" s="5" t="inlineStr">
        <is>
          <t>BestHits</t>
        </is>
      </c>
      <c r="B27" s="6" t="inlineStr">
        <is>
          <t>Número de instancias (de 8) en que el algoritmo alcanzó exactamente la solución de referencia (error relativo = 0).</t>
        </is>
      </c>
    </row>
    <row r="28" ht="30" customHeight="1">
      <c r="A28" s="5" t="inlineStr">
        <is>
          <t>Tamaño árbol</t>
        </is>
      </c>
      <c r="B28" s="6" t="inlineStr">
        <is>
          <t>Número de nodos del árbol sintáctico del algoritmo generado.</t>
        </is>
      </c>
    </row>
    <row r="29" ht="30" customHeight="1">
      <c r="A29" s="5" t="inlineStr">
        <is>
          <t>ID individuo (ECJ)</t>
        </is>
      </c>
      <c r="B29" s="6" t="inlineStr">
        <is>
          <t>Identificador interno del individuo en el framework ECJ. Sirve para ubicarlo en los archivos crudos; no tiene otro significado.</t>
        </is>
      </c>
    </row>
    <row r="30" ht="30" customHeight="1">
      <c r="A30" s="5" t="inlineStr">
        <is>
          <t>Óptimo / Costo obtenido / Error relativo</t>
        </is>
      </c>
      <c r="B30" s="6" t="inlineStr">
        <is>
          <t>Óptimo = costo de la solución de referencia de la instancia. Costo obtenido = costo de la solución que construyó el algoritmo. Error relativo = (costo - óptimo) / óptimo.</t>
        </is>
      </c>
    </row>
    <row r="31" ht="30" customHeight="1">
      <c r="A31" s="5" t="inlineStr">
        <is>
          <t>Llamadas CPLEX</t>
        </is>
      </c>
      <c r="B31" s="6" t="inlineStr">
        <is>
          <t>Cuántas veces el algoritmo invocó al terminal CPLEX al resolver esa instancia.</t>
        </is>
      </c>
    </row>
    <row r="32" ht="30" customHeight="1">
      <c r="A32" s="5" t="inlineStr">
        <is>
          <t>Tiempo CPLEX (s)</t>
        </is>
      </c>
      <c r="B32" s="6" t="inlineStr">
        <is>
          <t>Tiempo de CPU consumido por CPLEX en esa instancia (suma de las llamadas). Criterio: valor acumulado (BudgetUsed) de la última llamada registrada, igual que en la tesis.</t>
        </is>
      </c>
    </row>
    <row r="33" ht="60" customHeight="1">
      <c r="A33" s="5" t="inlineStr">
        <is>
          <t>Suma bruta TimeUsed (s) / Secuencias registradas</t>
        </is>
      </c>
      <c r="B33" s="6" t="inlineStr">
        <is>
          <t>Columnas de control. Suma directa de todas las filas atribuidas al individuo en el registro de CPLEX y cuántas secuencias de llamadas aparecen. Normalmente 'Secuencias' = 1 y ambos tiempos coinciden. Cuando 'Secuencias' &gt; 1 (ocurre en 3 instancias de B10) el registro mezcló llamadas de otro individuo que se evaluaba en paralelo, y se conserva el criterio de la tesis. Ver nota al pie de la hoja.</t>
        </is>
      </c>
    </row>
    <row r="34" ht="30" customHeight="1">
      <c r="A34" s="5" t="inlineStr">
        <is>
          <t>Tiempo evaluación completa (s, pared) / Tiempo total</t>
        </is>
      </c>
      <c r="B34" s="6" t="inlineStr">
        <is>
          <t>Tiempo total de ejecución del algoritmo sobre la instancia, de principio a fin, en reloj de pared. Ver sección 2.</t>
        </is>
      </c>
    </row>
    <row r="35" ht="30" customHeight="1">
      <c r="A35" s="5" t="inlineStr">
        <is>
          <t>Ganancia vs baseline (s) / Ganancia (%)</t>
        </is>
      </c>
      <c r="B35" s="6" t="inlineStr">
        <is>
          <t>Cuánto tiempo se ahorra frente a resolver la instancia con CPLEX puro: baseline menos total, y esa diferencia dividida por el baseline.</t>
        </is>
      </c>
    </row>
    <row r="36"/>
    <row r="37">
      <c r="A37" s="3" t="inlineStr">
        <is>
          <t>5. Fuentes</t>
        </is>
      </c>
      <c r="B37" s="4" t="n"/>
    </row>
    <row r="38" ht="45" customHeight="1">
      <c r="A38" s="5" t="inlineStr">
        <is>
          <t>Archivos de origen</t>
        </is>
      </c>
      <c r="B38" s="6" t="inlineStr">
        <is>
          <t>ayud.-Investigacion/out/results/grupoN/evolutionM/: job.M.EstadisticaProm&amp;Mej.csv (identificación del mejor), job.M.MISPResults.out (calidad y tiempo total por instancia), job.M.CplexUsage.detailed.csv (tiempo de CPLEX). ayud.-Investigacion/out/baseline/cplex_baseline_results.csv (baseline).</t>
        </is>
      </c>
    </row>
    <row r="39" ht="45" customHeight="1">
      <c r="A39" s="5" t="inlineStr">
        <is>
          <t>Reproducibilidad</t>
        </is>
      </c>
      <c r="B39" s="6" t="inlineStr">
        <is>
          <t>El archivo se genera con un script a partir de esos archivos, sin edición manual. Los valores de la hoja 'Tiempo CPLEX por instancia' fueron verificados celda a celda contra la Tabla de ganancia del Capítulo 4.</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60" customWidth="1" min="1" max="1"/>
    <col width="20" customWidth="1" min="2" max="2"/>
    <col width="19" customWidth="1" min="3" max="3"/>
    <col width="19" customWidth="1" min="4" max="4"/>
    <col width="19" customWidth="1" min="5" max="5"/>
    <col width="19" customWidth="1" min="6" max="6"/>
    <col width="19" customWidth="1" min="7" max="7"/>
  </cols>
  <sheetData>
    <row r="1" ht="60" customHeight="1">
      <c r="A1" s="2" t="inlineStr">
        <is>
          <t>Tiempo de CPLEX (s, CPU, Threads=2) consumido por el MEJOR algoritmo de cada grupo al evaluar cada una de las 8 instancias, en la generación en que fue encontrado. Fuente: job.M.CplexUsage.detailed.csv, columna BudgetUsed (acumulado) de la última llamada por instancia; mismo criterio y mismos valores que la Tabla tab:ganancia-tiempo del Cap. 4. Baseline = CPLEX puro por instancia (out/baseline/cplex_baseline_results.csv, reloj de pared).</t>
        </is>
      </c>
    </row>
    <row r="2"/>
    <row r="3">
      <c r="A3" s="7" t="inlineStr">
        <is>
          <t>Instancia</t>
        </is>
      </c>
      <c r="B3" s="8" t="inlineStr">
        <is>
          <t>Baseline CPLEX (s)</t>
        </is>
      </c>
      <c r="C3" s="8" t="inlineStr">
        <is>
          <t>B10 (10%)</t>
        </is>
      </c>
      <c r="D3" s="8" t="inlineStr">
        <is>
          <t>B25 (25%)</t>
        </is>
      </c>
      <c r="E3" s="8" t="inlineStr">
        <is>
          <t>B50 (50%)</t>
        </is>
      </c>
      <c r="F3" s="8" t="inlineStr">
        <is>
          <t>B75 (75%)</t>
        </is>
      </c>
      <c r="G3" s="8" t="inlineStr">
        <is>
          <t>B100 (100%)</t>
        </is>
      </c>
    </row>
    <row r="4">
      <c r="A4" s="9" t="inlineStr">
        <is>
          <t>3C_20_50-02</t>
        </is>
      </c>
      <c r="B4" s="10" t="n">
        <v>61.404</v>
      </c>
      <c r="C4" s="10" t="n">
        <v>5.359</v>
      </c>
      <c r="D4" s="10" t="n">
        <v>0.328</v>
      </c>
      <c r="E4" s="10" t="n">
        <v>0.8129999999999999</v>
      </c>
      <c r="F4" s="10" t="n">
        <v>43.641</v>
      </c>
      <c r="G4" s="10" t="n">
        <v>44.703</v>
      </c>
    </row>
    <row r="5">
      <c r="A5" s="9" t="inlineStr">
        <is>
          <t>3C_20_50-03</t>
        </is>
      </c>
      <c r="B5" s="10" t="n">
        <v>30.993</v>
      </c>
      <c r="C5" s="10" t="n">
        <v>0.234</v>
      </c>
      <c r="D5" s="10" t="n">
        <v>6.641</v>
      </c>
      <c r="E5" s="10" t="n">
        <v>18.047</v>
      </c>
      <c r="F5" s="10" t="n">
        <v>20.359</v>
      </c>
      <c r="G5" s="10" t="n">
        <v>29.422</v>
      </c>
    </row>
    <row r="6">
      <c r="A6" s="9" t="inlineStr">
        <is>
          <t>3C_20_66-01</t>
        </is>
      </c>
      <c r="B6" s="10" t="n">
        <v>7.322</v>
      </c>
      <c r="C6" s="10" t="n">
        <v>0.844</v>
      </c>
      <c r="D6" s="10" t="n">
        <v>1.141</v>
      </c>
      <c r="E6" s="10" t="n">
        <v>0.594</v>
      </c>
      <c r="F6" s="10" t="n">
        <v>21.266</v>
      </c>
      <c r="G6" s="10" t="n">
        <v>14.297</v>
      </c>
    </row>
    <row r="7">
      <c r="A7" s="9" t="inlineStr">
        <is>
          <t>3C_20_66-02</t>
        </is>
      </c>
      <c r="B7" s="10" t="n">
        <v>154.245</v>
      </c>
      <c r="C7" s="10" t="n">
        <v>0</v>
      </c>
      <c r="D7" s="10" t="n">
        <v>28.797</v>
      </c>
      <c r="E7" s="10" t="n">
        <v>0</v>
      </c>
      <c r="F7" s="10" t="n">
        <v>0</v>
      </c>
      <c r="G7" s="10" t="n">
        <v>151.078</v>
      </c>
    </row>
    <row r="8">
      <c r="A8" s="9" t="inlineStr">
        <is>
          <t>3C_20_66-03</t>
        </is>
      </c>
      <c r="B8" s="10" t="n">
        <v>118.34</v>
      </c>
      <c r="C8" s="10" t="n">
        <v>0</v>
      </c>
      <c r="D8" s="10" t="n">
        <v>20.609</v>
      </c>
      <c r="E8" s="10" t="n">
        <v>0</v>
      </c>
      <c r="F8" s="10" t="n">
        <v>0</v>
      </c>
      <c r="G8" s="10" t="n">
        <v>117.125</v>
      </c>
    </row>
    <row r="9">
      <c r="A9" s="9" t="inlineStr">
        <is>
          <t>3C_20_80-01</t>
        </is>
      </c>
      <c r="B9" s="10" t="n">
        <v>4.194</v>
      </c>
      <c r="C9" s="10" t="n">
        <v>0.875</v>
      </c>
      <c r="D9" s="10" t="n">
        <v>0.516</v>
      </c>
      <c r="E9" s="10" t="n">
        <v>4.75</v>
      </c>
      <c r="F9" s="10" t="n">
        <v>2.656</v>
      </c>
      <c r="G9" s="10" t="n">
        <v>11.25</v>
      </c>
    </row>
    <row r="10">
      <c r="A10" s="9" t="inlineStr">
        <is>
          <t>3C_20_80-02</t>
        </is>
      </c>
      <c r="B10" s="10" t="n">
        <v>35.738</v>
      </c>
      <c r="C10" s="10" t="n">
        <v>3.313</v>
      </c>
      <c r="D10" s="10" t="n">
        <v>4.25</v>
      </c>
      <c r="E10" s="10" t="n">
        <v>15.234</v>
      </c>
      <c r="F10" s="10" t="n">
        <v>19.641</v>
      </c>
      <c r="G10" s="10" t="n">
        <v>16.703</v>
      </c>
    </row>
    <row r="11">
      <c r="A11" s="9" t="inlineStr">
        <is>
          <t>3C_20_80-03</t>
        </is>
      </c>
      <c r="B11" s="10" t="n">
        <v>169.439</v>
      </c>
      <c r="C11" s="10" t="n">
        <v>2.625</v>
      </c>
      <c r="D11" s="10" t="n">
        <v>17.813</v>
      </c>
      <c r="E11" s="10" t="n">
        <v>50.734</v>
      </c>
      <c r="F11" s="10" t="n">
        <v>121.063</v>
      </c>
      <c r="G11" s="10" t="n">
        <v>19.75</v>
      </c>
    </row>
    <row r="12">
      <c r="A12" s="11" t="inlineStr">
        <is>
          <t>Total</t>
        </is>
      </c>
      <c r="B12" s="12">
        <f>SUM(B4:B11)</f>
        <v/>
      </c>
      <c r="C12" s="12">
        <f>SUM(C4:C11)</f>
        <v/>
      </c>
      <c r="D12" s="12">
        <f>SUM(D4:D11)</f>
        <v/>
      </c>
      <c r="E12" s="12">
        <f>SUM(E4:E11)</f>
        <v/>
      </c>
      <c r="F12" s="12">
        <f>SUM(F4:F11)</f>
        <v/>
      </c>
      <c r="G12" s="12">
        <f>SUM(G4:G11)</f>
        <v/>
      </c>
    </row>
    <row r="13">
      <c r="A13" s="9" t="inlineStr">
        <is>
          <t>Ganancia vs baseline (s)</t>
        </is>
      </c>
      <c r="B13" s="10" t="n"/>
      <c r="C13" s="10">
        <f>B12-C12</f>
        <v/>
      </c>
      <c r="D13" s="10">
        <f>B12-D12</f>
        <v/>
      </c>
      <c r="E13" s="10">
        <f>B12-E12</f>
        <v/>
      </c>
      <c r="F13" s="10">
        <f>B12-F12</f>
        <v/>
      </c>
      <c r="G13" s="10">
        <f>B12-G12</f>
        <v/>
      </c>
    </row>
    <row r="14">
      <c r="A14" s="9" t="inlineStr">
        <is>
          <t>Ganancia (%)</t>
        </is>
      </c>
      <c r="B14" s="9" t="n"/>
      <c r="C14" s="13">
        <f>(C12-B12)/B12*-1</f>
        <v/>
      </c>
      <c r="D14" s="13">
        <f>(D12-B12)/B12*-1</f>
        <v/>
      </c>
      <c r="E14" s="13">
        <f>(E12-B12)/B12*-1</f>
        <v/>
      </c>
      <c r="F14" s="13">
        <f>(F12-B12)/B12*-1</f>
        <v/>
      </c>
      <c r="G14" s="13">
        <f>(G12-B12)/B12*-1</f>
        <v/>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60" customWidth="1" min="1" max="1"/>
    <col width="20" customWidth="1" min="2" max="2"/>
    <col width="19" customWidth="1" min="3" max="3"/>
    <col width="19" customWidth="1" min="4" max="4"/>
    <col width="19" customWidth="1" min="5" max="5"/>
    <col width="19" customWidth="1" min="6" max="6"/>
    <col width="19" customWidth="1" min="7" max="7"/>
  </cols>
  <sheetData>
    <row r="1" ht="75" customHeight="1">
      <c r="A1" s="2" t="inlineStr">
        <is>
          <t>Tiempo TOTAL de ejecución del mejor algoritmo de cada grupo sobre cada instancia (s, reloj de pared): desde que el árbol empieza a evaluarse en la instancia hasta que termina, incluyendo heurísticas, CPLEX y todo el árbol. Fuente: job.M.MISPResults.out, columna 3 (ms), cronómetro System.nanoTime() en PDPProblemEvo.java:191-201. Baseline = CPLEX puro por instancia, también reloj de pared. Medido con 6 individuos evaluándose en paralelo en la misma máquina.</t>
        </is>
      </c>
    </row>
    <row r="2"/>
    <row r="3">
      <c r="A3" s="7" t="inlineStr">
        <is>
          <t>Instancia</t>
        </is>
      </c>
      <c r="B3" s="8" t="inlineStr">
        <is>
          <t>Baseline CPLEX (s)</t>
        </is>
      </c>
      <c r="C3" s="8" t="inlineStr">
        <is>
          <t>B10 (10%)</t>
        </is>
      </c>
      <c r="D3" s="8" t="inlineStr">
        <is>
          <t>B25 (25%)</t>
        </is>
      </c>
      <c r="E3" s="8" t="inlineStr">
        <is>
          <t>B50 (50%)</t>
        </is>
      </c>
      <c r="F3" s="8" t="inlineStr">
        <is>
          <t>B75 (75%)</t>
        </is>
      </c>
      <c r="G3" s="8" t="inlineStr">
        <is>
          <t>B100 (100%)</t>
        </is>
      </c>
    </row>
    <row r="4">
      <c r="A4" s="9" t="inlineStr">
        <is>
          <t>3C_20_50-02</t>
        </is>
      </c>
      <c r="B4" s="10" t="n">
        <v>61.404</v>
      </c>
      <c r="C4" s="10" t="n">
        <v>0.171</v>
      </c>
      <c r="D4" s="10" t="n">
        <v>0.2</v>
      </c>
      <c r="E4" s="10" t="n">
        <v>0.244</v>
      </c>
      <c r="F4" s="10" t="n">
        <v>8.154</v>
      </c>
      <c r="G4" s="10" t="n">
        <v>17.998</v>
      </c>
    </row>
    <row r="5">
      <c r="A5" s="9" t="inlineStr">
        <is>
          <t>3C_20_50-03</t>
        </is>
      </c>
      <c r="B5" s="10" t="n">
        <v>30.993</v>
      </c>
      <c r="C5" s="10" t="n">
        <v>0.423</v>
      </c>
      <c r="D5" s="10" t="n">
        <v>3.37</v>
      </c>
      <c r="E5" s="10" t="n">
        <v>2.469</v>
      </c>
      <c r="F5" s="10" t="n">
        <v>19.171</v>
      </c>
      <c r="G5" s="10" t="n">
        <v>7.316</v>
      </c>
    </row>
    <row r="6">
      <c r="A6" s="9" t="inlineStr">
        <is>
          <t>3C_20_66-01</t>
        </is>
      </c>
      <c r="B6" s="10" t="n">
        <v>7.322</v>
      </c>
      <c r="C6" s="10" t="n">
        <v>1.445</v>
      </c>
      <c r="D6" s="10" t="n">
        <v>0.625</v>
      </c>
      <c r="E6" s="10" t="n">
        <v>14.517</v>
      </c>
      <c r="F6" s="10" t="n">
        <v>6.378</v>
      </c>
      <c r="G6" s="10" t="n">
        <v>4.545</v>
      </c>
    </row>
    <row r="7">
      <c r="A7" s="9" t="inlineStr">
        <is>
          <t>3C_20_66-02</t>
        </is>
      </c>
      <c r="B7" s="10" t="n">
        <v>154.245</v>
      </c>
      <c r="C7" s="10" t="n">
        <v>3.082</v>
      </c>
      <c r="D7" s="10" t="n">
        <v>14.85</v>
      </c>
      <c r="E7" s="10" t="n">
        <v>30.72</v>
      </c>
      <c r="F7" s="10" t="n">
        <v>49.065</v>
      </c>
      <c r="G7" s="10" t="n">
        <v>22.384</v>
      </c>
    </row>
    <row r="8">
      <c r="A8" s="9" t="inlineStr">
        <is>
          <t>3C_20_66-03</t>
        </is>
      </c>
      <c r="B8" s="10" t="n">
        <v>118.34</v>
      </c>
      <c r="C8" s="10" t="n">
        <v>4.077</v>
      </c>
      <c r="D8" s="10" t="n">
        <v>10.48</v>
      </c>
      <c r="E8" s="10" t="n">
        <v>22.065</v>
      </c>
      <c r="F8" s="10" t="n">
        <v>34.919</v>
      </c>
      <c r="G8" s="10" t="n">
        <v>41.314</v>
      </c>
    </row>
    <row r="9">
      <c r="A9" s="9" t="inlineStr">
        <is>
          <t>3C_20_80-01</t>
        </is>
      </c>
      <c r="B9" s="10" t="n">
        <v>4.194</v>
      </c>
      <c r="C9" s="10" t="n">
        <v>0.17</v>
      </c>
      <c r="D9" s="10" t="n">
        <v>0.282</v>
      </c>
      <c r="E9" s="10" t="n">
        <v>1.071</v>
      </c>
      <c r="F9" s="10" t="n">
        <v>1.495</v>
      </c>
      <c r="G9" s="10" t="n">
        <v>1.711</v>
      </c>
    </row>
    <row r="10">
      <c r="A10" s="9" t="inlineStr">
        <is>
          <t>3C_20_80-02</t>
        </is>
      </c>
      <c r="B10" s="10" t="n">
        <v>35.738</v>
      </c>
      <c r="C10" s="10" t="n">
        <v>1.094</v>
      </c>
      <c r="D10" s="10" t="n">
        <v>2.168</v>
      </c>
      <c r="E10" s="10" t="n">
        <v>6.221</v>
      </c>
      <c r="F10" s="10" t="n">
        <v>9.003</v>
      </c>
      <c r="G10" s="10" t="n">
        <v>11.861</v>
      </c>
    </row>
    <row r="11">
      <c r="A11" s="9" t="inlineStr">
        <is>
          <t>3C_20_80-03</t>
        </is>
      </c>
      <c r="B11" s="10" t="n">
        <v>169.439</v>
      </c>
      <c r="C11" s="10" t="n">
        <v>3.753</v>
      </c>
      <c r="D11" s="10" t="n">
        <v>9.039999999999999</v>
      </c>
      <c r="E11" s="10" t="n">
        <v>28.175</v>
      </c>
      <c r="F11" s="10" t="n">
        <v>41.028</v>
      </c>
      <c r="G11" s="10" t="n">
        <v>67.56399999999999</v>
      </c>
    </row>
    <row r="12">
      <c r="A12" s="11" t="inlineStr">
        <is>
          <t>Total</t>
        </is>
      </c>
      <c r="B12" s="12">
        <f>SUM(B4:B11)</f>
        <v/>
      </c>
      <c r="C12" s="12">
        <f>SUM(C4:C11)</f>
        <v/>
      </c>
      <c r="D12" s="12">
        <f>SUM(D4:D11)</f>
        <v/>
      </c>
      <c r="E12" s="12">
        <f>SUM(E4:E11)</f>
        <v/>
      </c>
      <c r="F12" s="12">
        <f>SUM(F4:F11)</f>
        <v/>
      </c>
      <c r="G12" s="12">
        <f>SUM(G4:G11)</f>
        <v/>
      </c>
    </row>
    <row r="13">
      <c r="A13" s="9" t="inlineStr">
        <is>
          <t>Ganancia vs baseline (s)</t>
        </is>
      </c>
      <c r="B13" s="10" t="n"/>
      <c r="C13" s="10">
        <f>B12-C12</f>
        <v/>
      </c>
      <c r="D13" s="10">
        <f>B12-D12</f>
        <v/>
      </c>
      <c r="E13" s="10">
        <f>B12-E12</f>
        <v/>
      </c>
      <c r="F13" s="10">
        <f>B12-F12</f>
        <v/>
      </c>
      <c r="G13" s="10">
        <f>B12-G12</f>
        <v/>
      </c>
    </row>
    <row r="14">
      <c r="A14" s="9" t="inlineStr">
        <is>
          <t>Ganancia (%)</t>
        </is>
      </c>
      <c r="B14" s="9" t="n"/>
      <c r="C14" s="13">
        <f>(C12-B12)/B12*-1</f>
        <v/>
      </c>
      <c r="D14" s="13">
        <f>(D12-B12)/B12*-1</f>
        <v/>
      </c>
      <c r="E14" s="13">
        <f>(E12-B12)/B12*-1</f>
        <v/>
      </c>
      <c r="F14" s="13">
        <f>(F12-B12)/B12*-1</f>
        <v/>
      </c>
      <c r="G14" s="13">
        <f>(G12-B12)/B12*-1</f>
        <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12" customWidth="1" min="1" max="1"/>
    <col width="13" customWidth="1" min="2" max="2"/>
    <col width="17" customWidth="1" min="3" max="3"/>
    <col width="31" customWidth="1" min="4" max="4"/>
    <col width="19" customWidth="1" min="5" max="5"/>
    <col width="21" customWidth="1" min="6" max="6"/>
    <col width="12" customWidth="1" min="7" max="7"/>
    <col width="12" customWidth="1" min="8" max="8"/>
    <col width="14" customWidth="1" min="9" max="9"/>
    <col width="44" customWidth="1" min="10" max="10"/>
    <col width="26" customWidth="1" min="11" max="11"/>
    <col width="24" customWidth="1" min="12" max="12"/>
    <col width="39" customWidth="1" min="13" max="13"/>
  </cols>
  <sheetData>
    <row r="1">
      <c r="A1" s="7" t="inlineStr">
        <is>
          <t>Grupo</t>
        </is>
      </c>
      <c r="B1" s="7" t="inlineStr">
        <is>
          <t>Condición</t>
        </is>
      </c>
      <c r="C1" s="7" t="inlineStr">
        <is>
          <t>Ejecución (1-5)</t>
        </is>
      </c>
      <c r="D1" s="7" t="inlineStr">
        <is>
          <t>Carpeta</t>
        </is>
      </c>
      <c r="E1" s="7" t="inlineStr">
        <is>
          <t>Gen (hoja, 1-100)</t>
        </is>
      </c>
      <c r="F1" s="7" t="inlineStr">
        <is>
          <t>Gen (archivo, 0-99)</t>
        </is>
      </c>
      <c r="G1" s="7" t="inlineStr">
        <is>
          <t>BestERP</t>
        </is>
      </c>
      <c r="H1" s="7" t="inlineStr">
        <is>
          <t>BestHits</t>
        </is>
      </c>
      <c r="I1" s="7" t="inlineStr">
        <is>
          <t>Tamaño árbol</t>
        </is>
      </c>
      <c r="J1" s="7" t="inlineStr">
        <is>
          <t>ID individuo (ECJ)</t>
        </is>
      </c>
      <c r="K1" s="7" t="inlineStr">
        <is>
          <t>Llamadas CPLEX (8 inst.)</t>
        </is>
      </c>
      <c r="L1" s="7" t="inlineStr">
        <is>
          <t>Tiempo CPLEX total (s)</t>
        </is>
      </c>
      <c r="M1" s="7" t="inlineStr">
        <is>
          <t>Tiempo evaluación completa (s, pared)</t>
        </is>
      </c>
    </row>
    <row r="2">
      <c r="A2" s="9" t="inlineStr">
        <is>
          <t>grupo1</t>
        </is>
      </c>
      <c r="B2" s="9" t="inlineStr">
        <is>
          <t>B10 (10%)</t>
        </is>
      </c>
      <c r="C2" s="9" t="n">
        <v>2</v>
      </c>
      <c r="D2" s="9" t="inlineStr">
        <is>
          <t>out/results/grupo1/evolution1</t>
        </is>
      </c>
      <c r="E2" s="9" t="n">
        <v>16</v>
      </c>
      <c r="F2" s="9" t="n">
        <v>15</v>
      </c>
      <c r="G2" s="14" t="n">
        <v>0.0069106</v>
      </c>
      <c r="H2" s="9" t="n">
        <v>3</v>
      </c>
      <c r="I2" s="9" t="n">
        <v>44</v>
      </c>
      <c r="J2" s="9" t="inlineStr">
        <is>
          <t>ec.gp.GPIndividual@154976896{1846836593}</t>
        </is>
      </c>
      <c r="K2" s="9" t="n">
        <v>13</v>
      </c>
      <c r="L2" s="9" t="n">
        <v>13.25</v>
      </c>
      <c r="M2" s="9" t="n">
        <v>14.215</v>
      </c>
    </row>
    <row r="3">
      <c r="A3" s="9" t="inlineStr">
        <is>
          <t>grupo2</t>
        </is>
      </c>
      <c r="B3" s="9" t="inlineStr">
        <is>
          <t>B25 (25%)</t>
        </is>
      </c>
      <c r="C3" s="9" t="n">
        <v>1</v>
      </c>
      <c r="D3" s="9" t="inlineStr">
        <is>
          <t>out/results/grupo2/evolution0</t>
        </is>
      </c>
      <c r="E3" s="9" t="n">
        <v>48</v>
      </c>
      <c r="F3" s="9" t="n">
        <v>47</v>
      </c>
      <c r="G3" s="14" t="n">
        <v>0.0048098</v>
      </c>
      <c r="H3" s="9" t="n">
        <v>4</v>
      </c>
      <c r="I3" s="9" t="n">
        <v>26</v>
      </c>
      <c r="J3" s="9" t="inlineStr">
        <is>
          <t>ec.gp.GPIndividual@1784740561{-41414677}</t>
        </is>
      </c>
      <c r="K3" s="9" t="n">
        <v>43</v>
      </c>
      <c r="L3" s="9" t="n">
        <v>80.095</v>
      </c>
      <c r="M3" s="9" t="n">
        <v>41.015</v>
      </c>
    </row>
    <row r="4">
      <c r="A4" s="9" t="inlineStr">
        <is>
          <t>grupo3</t>
        </is>
      </c>
      <c r="B4" s="9" t="inlineStr">
        <is>
          <t>B50 (50%)</t>
        </is>
      </c>
      <c r="C4" s="9" t="n">
        <v>4</v>
      </c>
      <c r="D4" s="9" t="inlineStr">
        <is>
          <t>out/results/grupo3/evolution3</t>
        </is>
      </c>
      <c r="E4" s="9" t="n">
        <v>53</v>
      </c>
      <c r="F4" s="9" t="n">
        <v>52</v>
      </c>
      <c r="G4" s="14" t="n">
        <v>0.0031093</v>
      </c>
      <c r="H4" s="9" t="n">
        <v>5</v>
      </c>
      <c r="I4" s="9" t="n">
        <v>24</v>
      </c>
      <c r="J4" s="9" t="inlineStr">
        <is>
          <t>ec.gp.GPIndividual@1471463857{-1855534226}</t>
        </is>
      </c>
      <c r="K4" s="9" t="n">
        <v>28</v>
      </c>
      <c r="L4" s="9" t="n">
        <v>90.172</v>
      </c>
      <c r="M4" s="9" t="n">
        <v>105.482</v>
      </c>
    </row>
    <row r="5">
      <c r="A5" s="9" t="inlineStr">
        <is>
          <t>grupo4</t>
        </is>
      </c>
      <c r="B5" s="9" t="inlineStr">
        <is>
          <t>B75 (75%)</t>
        </is>
      </c>
      <c r="C5" s="9" t="n">
        <v>2</v>
      </c>
      <c r="D5" s="9" t="inlineStr">
        <is>
          <t>out/results/grupo4/evolution1</t>
        </is>
      </c>
      <c r="E5" s="9" t="n">
        <v>9</v>
      </c>
      <c r="F5" s="9" t="n">
        <v>8</v>
      </c>
      <c r="G5" s="14" t="n">
        <v>0.0010745</v>
      </c>
      <c r="H5" s="9" t="n">
        <v>6</v>
      </c>
      <c r="I5" s="9" t="n">
        <v>41</v>
      </c>
      <c r="J5" s="9" t="inlineStr">
        <is>
          <t>ec.gp.GPIndividual@1677277879{-569638614}</t>
        </is>
      </c>
      <c r="K5" s="9" t="n">
        <v>38</v>
      </c>
      <c r="L5" s="9" t="n">
        <v>228.626</v>
      </c>
      <c r="M5" s="9" t="n">
        <v>169.213</v>
      </c>
    </row>
    <row r="6">
      <c r="A6" s="9" t="inlineStr">
        <is>
          <t>grupo5</t>
        </is>
      </c>
      <c r="B6" s="9" t="inlineStr">
        <is>
          <t>B100 (100%)</t>
        </is>
      </c>
      <c r="C6" s="9" t="n">
        <v>2</v>
      </c>
      <c r="D6" s="9" t="inlineStr">
        <is>
          <t>out/results/grupo5/evolution1</t>
        </is>
      </c>
      <c r="E6" s="9" t="n">
        <v>49</v>
      </c>
      <c r="F6" s="9" t="n">
        <v>48</v>
      </c>
      <c r="G6" s="14" t="n">
        <v>0</v>
      </c>
      <c r="H6" s="9" t="n">
        <v>8</v>
      </c>
      <c r="I6" s="9" t="n">
        <v>37</v>
      </c>
      <c r="J6" s="9" t="inlineStr">
        <is>
          <t>ec.gp.GPIndividual@1722519408{-1981312886}</t>
        </is>
      </c>
      <c r="K6" s="9" t="n">
        <v>54</v>
      </c>
      <c r="L6" s="9" t="n">
        <v>404.328</v>
      </c>
      <c r="M6" s="9" t="n">
        <v>174.693</v>
      </c>
    </row>
    <row r="8">
      <c r="A8" t="inlineStr">
        <is>
          <t>Nota: la hoja 'Estadísticas Promedio y Mejor' numera generaciones 1-100; los archivos MISPResults.out y CplexUsage.detailed.csv numeran 0-99. Gen archivo = Gen hoja - 1.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12" customWidth="1" min="1" max="1"/>
    <col width="13" customWidth="1" min="2" max="2"/>
    <col width="13" customWidth="1" min="3" max="3"/>
    <col width="12" customWidth="1" min="4" max="4"/>
    <col width="16" customWidth="1" min="5" max="5"/>
    <col width="23" customWidth="1" min="6" max="6"/>
    <col width="16" customWidth="1" min="7" max="7"/>
    <col width="18" customWidth="1" min="8" max="8"/>
    <col width="25" customWidth="1" min="9" max="9"/>
    <col width="24" customWidth="1" min="10" max="10"/>
    <col width="39" customWidth="1" min="11" max="11"/>
    <col width="20" customWidth="1" min="12" max="12"/>
  </cols>
  <sheetData>
    <row r="1">
      <c r="A1" s="7" t="inlineStr">
        <is>
          <t>Grupo</t>
        </is>
      </c>
      <c r="B1" s="7" t="inlineStr">
        <is>
          <t>Condición</t>
        </is>
      </c>
      <c r="C1" s="7" t="inlineStr">
        <is>
          <t>Instancia</t>
        </is>
      </c>
      <c r="D1" s="7" t="inlineStr">
        <is>
          <t>Óptimo</t>
        </is>
      </c>
      <c r="E1" s="7" t="inlineStr">
        <is>
          <t>Costo obtenido</t>
        </is>
      </c>
      <c r="F1" s="7" t="inlineStr">
        <is>
          <t>Error relativo</t>
        </is>
      </c>
      <c r="G1" s="7" t="inlineStr">
        <is>
          <t>Llamadas CPLEX</t>
        </is>
      </c>
      <c r="H1" s="7" t="inlineStr">
        <is>
          <t>Tiempo CPLEX (s)</t>
        </is>
      </c>
      <c r="I1" s="7" t="inlineStr">
        <is>
          <t>Suma bruta TimeUsed (s)</t>
        </is>
      </c>
      <c r="J1" s="7" t="inlineStr">
        <is>
          <t>Secuencias registradas</t>
        </is>
      </c>
      <c r="K1" s="7" t="inlineStr">
        <is>
          <t>Tiempo evaluación completa (s, pared)</t>
        </is>
      </c>
      <c r="L1" s="7" t="inlineStr">
        <is>
          <t>Baseline CPLEX (s)</t>
        </is>
      </c>
    </row>
    <row r="2">
      <c r="A2" s="9" t="inlineStr">
        <is>
          <t>grupo1</t>
        </is>
      </c>
      <c r="B2" s="9" t="inlineStr">
        <is>
          <t>B10 (10%)</t>
        </is>
      </c>
      <c r="C2" s="9" t="inlineStr">
        <is>
          <t>3C_20_50-02</t>
        </is>
      </c>
      <c r="D2" s="9" t="n">
        <v>10054</v>
      </c>
      <c r="E2" s="9" t="n">
        <v>10054</v>
      </c>
      <c r="F2" s="14" t="n">
        <v>0</v>
      </c>
      <c r="G2" s="9" t="n">
        <v>3</v>
      </c>
      <c r="H2" s="9" t="n">
        <v>5.359</v>
      </c>
      <c r="I2" s="9" t="n">
        <v>5.359</v>
      </c>
      <c r="J2" s="9" t="n">
        <v>1</v>
      </c>
      <c r="K2" s="9" t="n">
        <v>0.171</v>
      </c>
      <c r="L2" s="9" t="n">
        <v>61.404</v>
      </c>
    </row>
    <row r="3">
      <c r="A3" s="9" t="inlineStr">
        <is>
          <t>grupo1</t>
        </is>
      </c>
      <c r="B3" s="9" t="inlineStr">
        <is>
          <t>B10 (10%)</t>
        </is>
      </c>
      <c r="C3" s="9" t="inlineStr">
        <is>
          <t>3C_20_50-03</t>
        </is>
      </c>
      <c r="D3" s="9" t="n">
        <v>8387</v>
      </c>
      <c r="E3" s="9" t="n">
        <v>8448</v>
      </c>
      <c r="F3" s="14" t="n">
        <v>0.007273160844163586</v>
      </c>
      <c r="G3" s="9" t="n">
        <v>1</v>
      </c>
      <c r="H3" s="9" t="n">
        <v>0.234</v>
      </c>
      <c r="I3" s="9" t="n">
        <v>0.234</v>
      </c>
      <c r="J3" s="9" t="n">
        <v>1</v>
      </c>
      <c r="K3" s="9" t="n">
        <v>0.423</v>
      </c>
      <c r="L3" s="9" t="n">
        <v>30.993</v>
      </c>
    </row>
    <row r="4">
      <c r="A4" s="9" t="inlineStr">
        <is>
          <t>grupo1</t>
        </is>
      </c>
      <c r="B4" s="9" t="inlineStr">
        <is>
          <t>B10 (10%)</t>
        </is>
      </c>
      <c r="C4" s="9" t="inlineStr">
        <is>
          <t>3C_20_66-01</t>
        </is>
      </c>
      <c r="D4" s="9" t="n">
        <v>14578</v>
      </c>
      <c r="E4" s="9" t="n">
        <v>14578</v>
      </c>
      <c r="F4" s="14" t="n">
        <v>0</v>
      </c>
      <c r="G4" s="9" t="n">
        <v>2</v>
      </c>
      <c r="H4" s="9" t="n">
        <v>0.844</v>
      </c>
      <c r="I4" s="9" t="n">
        <v>0.844</v>
      </c>
      <c r="J4" s="9" t="n">
        <v>1</v>
      </c>
      <c r="K4" s="9" t="n">
        <v>1.445</v>
      </c>
      <c r="L4" s="9" t="n">
        <v>7.322</v>
      </c>
    </row>
    <row r="5">
      <c r="A5" s="9" t="inlineStr">
        <is>
          <t>grupo1</t>
        </is>
      </c>
      <c r="B5" s="9" t="inlineStr">
        <is>
          <t>B10 (10%)</t>
        </is>
      </c>
      <c r="C5" s="9" t="inlineStr">
        <is>
          <t>3C_20_66-02</t>
        </is>
      </c>
      <c r="D5" s="9" t="n">
        <v>10861</v>
      </c>
      <c r="E5" s="9" t="n">
        <v>11066</v>
      </c>
      <c r="F5" s="14" t="n">
        <v>0.01887487340023939</v>
      </c>
      <c r="G5" s="9" t="n">
        <v>0</v>
      </c>
      <c r="H5" s="9" t="n">
        <v>0</v>
      </c>
      <c r="I5" s="9" t="n">
        <v>0</v>
      </c>
      <c r="J5" s="9" t="n">
        <v>0</v>
      </c>
      <c r="K5" s="9" t="n">
        <v>3.082</v>
      </c>
      <c r="L5" s="9" t="n">
        <v>154.245</v>
      </c>
    </row>
    <row r="6">
      <c r="A6" s="9" t="inlineStr">
        <is>
          <t>grupo1</t>
        </is>
      </c>
      <c r="B6" s="9" t="inlineStr">
        <is>
          <t>B10 (10%)</t>
        </is>
      </c>
      <c r="C6" s="9" t="inlineStr">
        <is>
          <t>3C_20_66-03</t>
        </is>
      </c>
      <c r="D6" s="9" t="n">
        <v>8160</v>
      </c>
      <c r="E6" s="9" t="n">
        <v>8241</v>
      </c>
      <c r="F6" s="14" t="n">
        <v>0.009926470588235294</v>
      </c>
      <c r="G6" s="9" t="n">
        <v>0</v>
      </c>
      <c r="H6" s="9" t="n">
        <v>0</v>
      </c>
      <c r="I6" s="9" t="n">
        <v>0</v>
      </c>
      <c r="J6" s="9" t="n">
        <v>0</v>
      </c>
      <c r="K6" s="9" t="n">
        <v>4.077</v>
      </c>
      <c r="L6" s="9" t="n">
        <v>118.34</v>
      </c>
    </row>
    <row r="7">
      <c r="A7" s="9" t="inlineStr">
        <is>
          <t>grupo1</t>
        </is>
      </c>
      <c r="B7" s="9" t="inlineStr">
        <is>
          <t>B10 (10%)</t>
        </is>
      </c>
      <c r="C7" s="9" t="inlineStr">
        <is>
          <t>3C_20_80-01</t>
        </is>
      </c>
      <c r="D7" s="9" t="n">
        <v>12802</v>
      </c>
      <c r="E7" s="9" t="n">
        <v>13031</v>
      </c>
      <c r="F7" s="14" t="n">
        <v>0.01788783002655835</v>
      </c>
      <c r="G7" s="9" t="n">
        <v>1</v>
      </c>
      <c r="H7" s="9" t="n">
        <v>0.875</v>
      </c>
      <c r="I7" s="9" t="n">
        <v>1.641</v>
      </c>
      <c r="J7" s="9" t="n">
        <v>2</v>
      </c>
      <c r="K7" s="9" t="n">
        <v>0.17</v>
      </c>
      <c r="L7" s="9" t="n">
        <v>4.194</v>
      </c>
    </row>
    <row r="8">
      <c r="A8" s="9" t="inlineStr">
        <is>
          <t>grupo1</t>
        </is>
      </c>
      <c r="B8" s="9" t="inlineStr">
        <is>
          <t>B10 (10%)</t>
        </is>
      </c>
      <c r="C8" s="9" t="inlineStr">
        <is>
          <t>3C_20_80-02</t>
        </is>
      </c>
      <c r="D8" s="9" t="n">
        <v>10087</v>
      </c>
      <c r="E8" s="9" t="n">
        <v>10087</v>
      </c>
      <c r="F8" s="14" t="n">
        <v>0</v>
      </c>
      <c r="G8" s="9" t="n">
        <v>4</v>
      </c>
      <c r="H8" s="9" t="n">
        <v>3.313</v>
      </c>
      <c r="I8" s="9" t="n">
        <v>4.687</v>
      </c>
      <c r="J8" s="9" t="n">
        <v>2</v>
      </c>
      <c r="K8" s="9" t="n">
        <v>1.094</v>
      </c>
      <c r="L8" s="9" t="n">
        <v>35.738</v>
      </c>
    </row>
    <row r="9">
      <c r="A9" s="9" t="inlineStr">
        <is>
          <t>grupo1</t>
        </is>
      </c>
      <c r="B9" s="9" t="inlineStr">
        <is>
          <t>B10 (10%)</t>
        </is>
      </c>
      <c r="C9" s="9" t="inlineStr">
        <is>
          <t>3C_20_80-03</t>
        </is>
      </c>
      <c r="D9" s="9" t="n">
        <v>8317</v>
      </c>
      <c r="E9" s="9" t="n">
        <v>8328</v>
      </c>
      <c r="F9" s="14" t="n">
        <v>0.001322592280870506</v>
      </c>
      <c r="G9" s="9" t="n">
        <v>2</v>
      </c>
      <c r="H9" s="9" t="n">
        <v>2.625</v>
      </c>
      <c r="I9" s="9" t="n">
        <v>2.844</v>
      </c>
      <c r="J9" s="9" t="n">
        <v>2</v>
      </c>
      <c r="K9" s="9" t="n">
        <v>3.753</v>
      </c>
      <c r="L9" s="9" t="n">
        <v>169.439</v>
      </c>
    </row>
    <row r="10">
      <c r="A10" s="9" t="inlineStr">
        <is>
          <t>grupo2</t>
        </is>
      </c>
      <c r="B10" s="9" t="inlineStr">
        <is>
          <t>B25 (25%)</t>
        </is>
      </c>
      <c r="C10" s="9" t="inlineStr">
        <is>
          <t>3C_20_50-02</t>
        </is>
      </c>
      <c r="D10" s="9" t="n">
        <v>10054</v>
      </c>
      <c r="E10" s="9" t="n">
        <v>10054</v>
      </c>
      <c r="F10" s="14" t="n">
        <v>0</v>
      </c>
      <c r="G10" s="9" t="n">
        <v>3</v>
      </c>
      <c r="H10" s="9" t="n">
        <v>0.328</v>
      </c>
      <c r="I10" s="9" t="n">
        <v>0.328</v>
      </c>
      <c r="J10" s="9" t="n">
        <v>1</v>
      </c>
      <c r="K10" s="9" t="n">
        <v>0.2</v>
      </c>
      <c r="L10" s="9" t="n">
        <v>61.404</v>
      </c>
    </row>
    <row r="11">
      <c r="A11" s="9" t="inlineStr">
        <is>
          <t>grupo2</t>
        </is>
      </c>
      <c r="B11" s="9" t="inlineStr">
        <is>
          <t>B25 (25%)</t>
        </is>
      </c>
      <c r="C11" s="9" t="inlineStr">
        <is>
          <t>3C_20_50-03</t>
        </is>
      </c>
      <c r="D11" s="9" t="n">
        <v>8387</v>
      </c>
      <c r="E11" s="9" t="n">
        <v>8469</v>
      </c>
      <c r="F11" s="14" t="n">
        <v>0.009777035888875641</v>
      </c>
      <c r="G11" s="9" t="n">
        <v>6</v>
      </c>
      <c r="H11" s="9" t="n">
        <v>6.641</v>
      </c>
      <c r="I11" s="9" t="n">
        <v>6.641</v>
      </c>
      <c r="J11" s="9" t="n">
        <v>1</v>
      </c>
      <c r="K11" s="9" t="n">
        <v>3.37</v>
      </c>
      <c r="L11" s="9" t="n">
        <v>30.993</v>
      </c>
    </row>
    <row r="12">
      <c r="A12" s="9" t="inlineStr">
        <is>
          <t>grupo2</t>
        </is>
      </c>
      <c r="B12" s="9" t="inlineStr">
        <is>
          <t>B25 (25%)</t>
        </is>
      </c>
      <c r="C12" s="9" t="inlineStr">
        <is>
          <t>3C_20_66-01</t>
        </is>
      </c>
      <c r="D12" s="9" t="n">
        <v>14578</v>
      </c>
      <c r="E12" s="9" t="n">
        <v>14697</v>
      </c>
      <c r="F12" s="14" t="n">
        <v>0.008162985320345727</v>
      </c>
      <c r="G12" s="9" t="n">
        <v>5</v>
      </c>
      <c r="H12" s="9" t="n">
        <v>1.141</v>
      </c>
      <c r="I12" s="9" t="n">
        <v>1.14</v>
      </c>
      <c r="J12" s="9" t="n">
        <v>1</v>
      </c>
      <c r="K12" s="9" t="n">
        <v>0.625</v>
      </c>
      <c r="L12" s="9" t="n">
        <v>7.322</v>
      </c>
    </row>
    <row r="13">
      <c r="A13" s="9" t="inlineStr">
        <is>
          <t>grupo2</t>
        </is>
      </c>
      <c r="B13" s="9" t="inlineStr">
        <is>
          <t>B25 (25%)</t>
        </is>
      </c>
      <c r="C13" s="9" t="inlineStr">
        <is>
          <t>3C_20_66-02</t>
        </is>
      </c>
      <c r="D13" s="9" t="n">
        <v>10861</v>
      </c>
      <c r="E13" s="9" t="n">
        <v>10861</v>
      </c>
      <c r="F13" s="14" t="n">
        <v>0</v>
      </c>
      <c r="G13" s="9" t="n">
        <v>12</v>
      </c>
      <c r="H13" s="9" t="n">
        <v>28.797</v>
      </c>
      <c r="I13" s="9" t="n">
        <v>28.799</v>
      </c>
      <c r="J13" s="9" t="n">
        <v>1</v>
      </c>
      <c r="K13" s="9" t="n">
        <v>14.85</v>
      </c>
      <c r="L13" s="9" t="n">
        <v>154.245</v>
      </c>
    </row>
    <row r="14">
      <c r="A14" s="9" t="inlineStr">
        <is>
          <t>grupo2</t>
        </is>
      </c>
      <c r="B14" s="9" t="inlineStr">
        <is>
          <t>B25 (25%)</t>
        </is>
      </c>
      <c r="C14" s="9" t="inlineStr">
        <is>
          <t>3C_20_66-03</t>
        </is>
      </c>
      <c r="D14" s="9" t="n">
        <v>8160</v>
      </c>
      <c r="E14" s="9" t="n">
        <v>8160</v>
      </c>
      <c r="F14" s="14" t="n">
        <v>0</v>
      </c>
      <c r="G14" s="9" t="n">
        <v>6</v>
      </c>
      <c r="H14" s="9" t="n">
        <v>20.609</v>
      </c>
      <c r="I14" s="9" t="n">
        <v>20.609</v>
      </c>
      <c r="J14" s="9" t="n">
        <v>1</v>
      </c>
      <c r="K14" s="9" t="n">
        <v>10.48</v>
      </c>
      <c r="L14" s="9" t="n">
        <v>118.34</v>
      </c>
    </row>
    <row r="15">
      <c r="A15" s="9" t="inlineStr">
        <is>
          <t>grupo2</t>
        </is>
      </c>
      <c r="B15" s="9" t="inlineStr">
        <is>
          <t>B25 (25%)</t>
        </is>
      </c>
      <c r="C15" s="9" t="inlineStr">
        <is>
          <t>3C_20_80-01</t>
        </is>
      </c>
      <c r="D15" s="9" t="n">
        <v>12802</v>
      </c>
      <c r="E15" s="9" t="n">
        <v>13048</v>
      </c>
      <c r="F15" s="14" t="n">
        <v>0.01921574753944696</v>
      </c>
      <c r="G15" s="9" t="n">
        <v>2</v>
      </c>
      <c r="H15" s="9" t="n">
        <v>0.516</v>
      </c>
      <c r="I15" s="9" t="n">
        <v>0.515</v>
      </c>
      <c r="J15" s="9" t="n">
        <v>1</v>
      </c>
      <c r="K15" s="9" t="n">
        <v>0.282</v>
      </c>
      <c r="L15" s="9" t="n">
        <v>4.194</v>
      </c>
    </row>
    <row r="16">
      <c r="A16" s="9" t="inlineStr">
        <is>
          <t>grupo2</t>
        </is>
      </c>
      <c r="B16" s="9" t="inlineStr">
        <is>
          <t>B25 (25%)</t>
        </is>
      </c>
      <c r="C16" s="9" t="inlineStr">
        <is>
          <t>3C_20_80-02</t>
        </is>
      </c>
      <c r="D16" s="9" t="n">
        <v>10087</v>
      </c>
      <c r="E16" s="9" t="n">
        <v>10087</v>
      </c>
      <c r="F16" s="14" t="n">
        <v>0</v>
      </c>
      <c r="G16" s="9" t="n">
        <v>6</v>
      </c>
      <c r="H16" s="9" t="n">
        <v>4.25</v>
      </c>
      <c r="I16" s="9" t="n">
        <v>4.25</v>
      </c>
      <c r="J16" s="9" t="n">
        <v>1</v>
      </c>
      <c r="K16" s="9" t="n">
        <v>2.168</v>
      </c>
      <c r="L16" s="9" t="n">
        <v>35.738</v>
      </c>
    </row>
    <row r="17">
      <c r="A17" s="9" t="inlineStr">
        <is>
          <t>grupo2</t>
        </is>
      </c>
      <c r="B17" s="9" t="inlineStr">
        <is>
          <t>B25 (25%)</t>
        </is>
      </c>
      <c r="C17" s="9" t="inlineStr">
        <is>
          <t>3C_20_80-03</t>
        </is>
      </c>
      <c r="D17" s="9" t="n">
        <v>8317</v>
      </c>
      <c r="E17" s="9" t="n">
        <v>8328</v>
      </c>
      <c r="F17" s="14" t="n">
        <v>0.001322592280870506</v>
      </c>
      <c r="G17" s="9" t="n">
        <v>3</v>
      </c>
      <c r="H17" s="9" t="n">
        <v>17.813</v>
      </c>
      <c r="I17" s="9" t="n">
        <v>17.813</v>
      </c>
      <c r="J17" s="9" t="n">
        <v>1</v>
      </c>
      <c r="K17" s="9" t="n">
        <v>9.039999999999999</v>
      </c>
      <c r="L17" s="9" t="n">
        <v>169.439</v>
      </c>
    </row>
    <row r="18">
      <c r="A18" s="9" t="inlineStr">
        <is>
          <t>grupo3</t>
        </is>
      </c>
      <c r="B18" s="9" t="inlineStr">
        <is>
          <t>B50 (50%)</t>
        </is>
      </c>
      <c r="C18" s="9" t="inlineStr">
        <is>
          <t>3C_20_50-02</t>
        </is>
      </c>
      <c r="D18" s="9" t="n">
        <v>10054</v>
      </c>
      <c r="E18" s="9" t="n">
        <v>10054</v>
      </c>
      <c r="F18" s="14" t="n">
        <v>0</v>
      </c>
      <c r="G18" s="9" t="n">
        <v>4</v>
      </c>
      <c r="H18" s="9" t="n">
        <v>0.8129999999999999</v>
      </c>
      <c r="I18" s="9" t="n">
        <v>0.8129999999999999</v>
      </c>
      <c r="J18" s="9" t="n">
        <v>1</v>
      </c>
      <c r="K18" s="9" t="n">
        <v>0.244</v>
      </c>
      <c r="L18" s="9" t="n">
        <v>61.404</v>
      </c>
    </row>
    <row r="19">
      <c r="A19" s="9" t="inlineStr">
        <is>
          <t>grupo3</t>
        </is>
      </c>
      <c r="B19" s="9" t="inlineStr">
        <is>
          <t>B50 (50%)</t>
        </is>
      </c>
      <c r="C19" s="9" t="inlineStr">
        <is>
          <t>3C_20_50-03</t>
        </is>
      </c>
      <c r="D19" s="9" t="n">
        <v>8387</v>
      </c>
      <c r="E19" s="9" t="n">
        <v>8528</v>
      </c>
      <c r="F19" s="14" t="n">
        <v>0.01681173244306665</v>
      </c>
      <c r="G19" s="9" t="n">
        <v>4</v>
      </c>
      <c r="H19" s="9" t="n">
        <v>18.047</v>
      </c>
      <c r="I19" s="9" t="n">
        <v>18.047</v>
      </c>
      <c r="J19" s="9" t="n">
        <v>1</v>
      </c>
      <c r="K19" s="9" t="n">
        <v>2.469</v>
      </c>
      <c r="L19" s="9" t="n">
        <v>30.993</v>
      </c>
    </row>
    <row r="20">
      <c r="A20" s="9" t="inlineStr">
        <is>
          <t>grupo3</t>
        </is>
      </c>
      <c r="B20" s="9" t="inlineStr">
        <is>
          <t>B50 (50%)</t>
        </is>
      </c>
      <c r="C20" s="9" t="inlineStr">
        <is>
          <t>3C_20_66-01</t>
        </is>
      </c>
      <c r="D20" s="9" t="n">
        <v>14578</v>
      </c>
      <c r="E20" s="9" t="n">
        <v>14578</v>
      </c>
      <c r="F20" s="14" t="n">
        <v>0</v>
      </c>
      <c r="G20" s="9" t="n">
        <v>1</v>
      </c>
      <c r="H20" s="9" t="n">
        <v>0.594</v>
      </c>
      <c r="I20" s="9" t="n">
        <v>0.594</v>
      </c>
      <c r="J20" s="9" t="n">
        <v>1</v>
      </c>
      <c r="K20" s="9" t="n">
        <v>14.517</v>
      </c>
      <c r="L20" s="9" t="n">
        <v>7.322</v>
      </c>
    </row>
    <row r="21">
      <c r="A21" s="9" t="inlineStr">
        <is>
          <t>grupo3</t>
        </is>
      </c>
      <c r="B21" s="9" t="inlineStr">
        <is>
          <t>B50 (50%)</t>
        </is>
      </c>
      <c r="C21" s="9" t="inlineStr">
        <is>
          <t>3C_20_66-02</t>
        </is>
      </c>
      <c r="D21" s="9" t="n">
        <v>10861</v>
      </c>
      <c r="E21" s="9" t="n">
        <v>10861</v>
      </c>
      <c r="F21" s="14" t="n">
        <v>0</v>
      </c>
      <c r="G21" s="9" t="n">
        <v>0</v>
      </c>
      <c r="H21" s="9" t="n">
        <v>0</v>
      </c>
      <c r="I21" s="9" t="n">
        <v>0</v>
      </c>
      <c r="J21" s="9" t="n">
        <v>0</v>
      </c>
      <c r="K21" s="9" t="n">
        <v>30.72</v>
      </c>
      <c r="L21" s="9" t="n">
        <v>154.245</v>
      </c>
    </row>
    <row r="22">
      <c r="A22" s="9" t="inlineStr">
        <is>
          <t>grupo3</t>
        </is>
      </c>
      <c r="B22" s="9" t="inlineStr">
        <is>
          <t>B50 (50%)</t>
        </is>
      </c>
      <c r="C22" s="9" t="inlineStr">
        <is>
          <t>3C_20_66-03</t>
        </is>
      </c>
      <c r="D22" s="9" t="n">
        <v>8160</v>
      </c>
      <c r="E22" s="9" t="n">
        <v>8215</v>
      </c>
      <c r="F22" s="14" t="n">
        <v>0.006740196078431373</v>
      </c>
      <c r="G22" s="9" t="n">
        <v>0</v>
      </c>
      <c r="H22" s="9" t="n">
        <v>0</v>
      </c>
      <c r="I22" s="9" t="n">
        <v>0</v>
      </c>
      <c r="J22" s="9" t="n">
        <v>0</v>
      </c>
      <c r="K22" s="9" t="n">
        <v>22.065</v>
      </c>
      <c r="L22" s="9" t="n">
        <v>118.34</v>
      </c>
    </row>
    <row r="23">
      <c r="A23" s="9" t="inlineStr">
        <is>
          <t>grupo3</t>
        </is>
      </c>
      <c r="B23" s="9" t="inlineStr">
        <is>
          <t>B50 (50%)</t>
        </is>
      </c>
      <c r="C23" s="9" t="inlineStr">
        <is>
          <t>3C_20_80-01</t>
        </is>
      </c>
      <c r="D23" s="9" t="n">
        <v>12802</v>
      </c>
      <c r="E23" s="9" t="n">
        <v>12802</v>
      </c>
      <c r="F23" s="14" t="n">
        <v>0</v>
      </c>
      <c r="G23" s="9" t="n">
        <v>3</v>
      </c>
      <c r="H23" s="9" t="n">
        <v>4.75</v>
      </c>
      <c r="I23" s="9" t="n">
        <v>4.749</v>
      </c>
      <c r="J23" s="9" t="n">
        <v>1</v>
      </c>
      <c r="K23" s="9" t="n">
        <v>1.071</v>
      </c>
      <c r="L23" s="9" t="n">
        <v>4.194</v>
      </c>
    </row>
    <row r="24">
      <c r="A24" s="9" t="inlineStr">
        <is>
          <t>grupo3</t>
        </is>
      </c>
      <c r="B24" s="9" t="inlineStr">
        <is>
          <t>B50 (50%)</t>
        </is>
      </c>
      <c r="C24" s="9" t="inlineStr">
        <is>
          <t>3C_20_80-02</t>
        </is>
      </c>
      <c r="D24" s="9" t="n">
        <v>10087</v>
      </c>
      <c r="E24" s="9" t="n">
        <v>10087</v>
      </c>
      <c r="F24" s="14" t="n">
        <v>0</v>
      </c>
      <c r="G24" s="9" t="n">
        <v>12</v>
      </c>
      <c r="H24" s="9" t="n">
        <v>15.234</v>
      </c>
      <c r="I24" s="9" t="n">
        <v>15.235</v>
      </c>
      <c r="J24" s="9" t="n">
        <v>1</v>
      </c>
      <c r="K24" s="9" t="n">
        <v>6.221</v>
      </c>
      <c r="L24" s="9" t="n">
        <v>35.738</v>
      </c>
    </row>
    <row r="25">
      <c r="A25" s="9" t="inlineStr">
        <is>
          <t>grupo3</t>
        </is>
      </c>
      <c r="B25" s="9" t="inlineStr">
        <is>
          <t>B50 (50%)</t>
        </is>
      </c>
      <c r="C25" s="9" t="inlineStr">
        <is>
          <t>3C_20_80-03</t>
        </is>
      </c>
      <c r="D25" s="9" t="n">
        <v>8317</v>
      </c>
      <c r="E25" s="9" t="n">
        <v>8328</v>
      </c>
      <c r="F25" s="14" t="n">
        <v>0.001322592280870506</v>
      </c>
      <c r="G25" s="9" t="n">
        <v>4</v>
      </c>
      <c r="H25" s="9" t="n">
        <v>50.734</v>
      </c>
      <c r="I25" s="9" t="n">
        <v>50.735</v>
      </c>
      <c r="J25" s="9" t="n">
        <v>1</v>
      </c>
      <c r="K25" s="9" t="n">
        <v>28.175</v>
      </c>
      <c r="L25" s="9" t="n">
        <v>169.439</v>
      </c>
    </row>
    <row r="26">
      <c r="A26" s="9" t="inlineStr">
        <is>
          <t>grupo4</t>
        </is>
      </c>
      <c r="B26" s="9" t="inlineStr">
        <is>
          <t>B75 (75%)</t>
        </is>
      </c>
      <c r="C26" s="9" t="inlineStr">
        <is>
          <t>3C_20_50-02</t>
        </is>
      </c>
      <c r="D26" s="9" t="n">
        <v>10054</v>
      </c>
      <c r="E26" s="9" t="n">
        <v>10054</v>
      </c>
      <c r="F26" s="14" t="n">
        <v>0</v>
      </c>
      <c r="G26" s="9" t="n">
        <v>8</v>
      </c>
      <c r="H26" s="9" t="n">
        <v>43.641</v>
      </c>
      <c r="I26" s="9" t="n">
        <v>43.64</v>
      </c>
      <c r="J26" s="9" t="n">
        <v>1</v>
      </c>
      <c r="K26" s="9" t="n">
        <v>8.154</v>
      </c>
      <c r="L26" s="9" t="n">
        <v>61.404</v>
      </c>
    </row>
    <row r="27">
      <c r="A27" s="9" t="inlineStr">
        <is>
          <t>grupo4</t>
        </is>
      </c>
      <c r="B27" s="9" t="inlineStr">
        <is>
          <t>B75 (75%)</t>
        </is>
      </c>
      <c r="C27" s="9" t="inlineStr">
        <is>
          <t>3C_20_50-03</t>
        </is>
      </c>
      <c r="D27" s="9" t="n">
        <v>8387</v>
      </c>
      <c r="E27" s="9" t="n">
        <v>8448</v>
      </c>
      <c r="F27" s="14" t="n">
        <v>0.007273160844163586</v>
      </c>
      <c r="G27" s="9" t="n">
        <v>5</v>
      </c>
      <c r="H27" s="9" t="n">
        <v>20.359</v>
      </c>
      <c r="I27" s="9" t="n">
        <v>20.359</v>
      </c>
      <c r="J27" s="9" t="n">
        <v>1</v>
      </c>
      <c r="K27" s="9" t="n">
        <v>19.171</v>
      </c>
      <c r="L27" s="9" t="n">
        <v>30.993</v>
      </c>
    </row>
    <row r="28">
      <c r="A28" s="9" t="inlineStr">
        <is>
          <t>grupo4</t>
        </is>
      </c>
      <c r="B28" s="9" t="inlineStr">
        <is>
          <t>B75 (75%)</t>
        </is>
      </c>
      <c r="C28" s="9" t="inlineStr">
        <is>
          <t>3C_20_66-01</t>
        </is>
      </c>
      <c r="D28" s="9" t="n">
        <v>14578</v>
      </c>
      <c r="E28" s="9" t="n">
        <v>14578</v>
      </c>
      <c r="F28" s="14" t="n">
        <v>0</v>
      </c>
      <c r="G28" s="9" t="n">
        <v>5</v>
      </c>
      <c r="H28" s="9" t="n">
        <v>21.266</v>
      </c>
      <c r="I28" s="9" t="n">
        <v>21.266</v>
      </c>
      <c r="J28" s="9" t="n">
        <v>1</v>
      </c>
      <c r="K28" s="9" t="n">
        <v>6.378</v>
      </c>
      <c r="L28" s="9" t="n">
        <v>7.322</v>
      </c>
    </row>
    <row r="29">
      <c r="A29" s="9" t="inlineStr">
        <is>
          <t>grupo4</t>
        </is>
      </c>
      <c r="B29" s="9" t="inlineStr">
        <is>
          <t>B75 (75%)</t>
        </is>
      </c>
      <c r="C29" s="9" t="inlineStr">
        <is>
          <t>3C_20_66-02</t>
        </is>
      </c>
      <c r="D29" s="9" t="n">
        <v>10861</v>
      </c>
      <c r="E29" s="9" t="n">
        <v>10861</v>
      </c>
      <c r="F29" s="14" t="n">
        <v>0</v>
      </c>
      <c r="G29" s="9" t="n">
        <v>0</v>
      </c>
      <c r="H29" s="9" t="n">
        <v>0</v>
      </c>
      <c r="I29" s="9" t="n">
        <v>0</v>
      </c>
      <c r="J29" s="9" t="n">
        <v>0</v>
      </c>
      <c r="K29" s="9" t="n">
        <v>49.065</v>
      </c>
      <c r="L29" s="9" t="n">
        <v>154.245</v>
      </c>
    </row>
    <row r="30">
      <c r="A30" s="9" t="inlineStr">
        <is>
          <t>grupo4</t>
        </is>
      </c>
      <c r="B30" s="9" t="inlineStr">
        <is>
          <t>B75 (75%)</t>
        </is>
      </c>
      <c r="C30" s="9" t="inlineStr">
        <is>
          <t>3C_20_66-03</t>
        </is>
      </c>
      <c r="D30" s="9" t="n">
        <v>8160</v>
      </c>
      <c r="E30" s="9" t="n">
        <v>8160</v>
      </c>
      <c r="F30" s="14" t="n">
        <v>0</v>
      </c>
      <c r="G30" s="9" t="n">
        <v>0</v>
      </c>
      <c r="H30" s="9" t="n">
        <v>0</v>
      </c>
      <c r="I30" s="9" t="n">
        <v>0</v>
      </c>
      <c r="J30" s="9" t="n">
        <v>0</v>
      </c>
      <c r="K30" s="9" t="n">
        <v>34.919</v>
      </c>
      <c r="L30" s="9" t="n">
        <v>118.34</v>
      </c>
    </row>
    <row r="31">
      <c r="A31" s="9" t="inlineStr">
        <is>
          <t>grupo4</t>
        </is>
      </c>
      <c r="B31" s="9" t="inlineStr">
        <is>
          <t>B75 (75%)</t>
        </is>
      </c>
      <c r="C31" s="9" t="inlineStr">
        <is>
          <t>3C_20_80-01</t>
        </is>
      </c>
      <c r="D31" s="9" t="n">
        <v>12802</v>
      </c>
      <c r="E31" s="9" t="n">
        <v>12802</v>
      </c>
      <c r="F31" s="14" t="n">
        <v>0</v>
      </c>
      <c r="G31" s="9" t="n">
        <v>5</v>
      </c>
      <c r="H31" s="9" t="n">
        <v>2.656</v>
      </c>
      <c r="I31" s="9" t="n">
        <v>2.656</v>
      </c>
      <c r="J31" s="9" t="n">
        <v>1</v>
      </c>
      <c r="K31" s="9" t="n">
        <v>1.495</v>
      </c>
      <c r="L31" s="9" t="n">
        <v>4.194</v>
      </c>
    </row>
    <row r="32">
      <c r="A32" s="9" t="inlineStr">
        <is>
          <t>grupo4</t>
        </is>
      </c>
      <c r="B32" s="9" t="inlineStr">
        <is>
          <t>B75 (75%)</t>
        </is>
      </c>
      <c r="C32" s="9" t="inlineStr">
        <is>
          <t>3C_20_80-02</t>
        </is>
      </c>
      <c r="D32" s="9" t="n">
        <v>10087</v>
      </c>
      <c r="E32" s="9" t="n">
        <v>10087</v>
      </c>
      <c r="F32" s="14" t="n">
        <v>0</v>
      </c>
      <c r="G32" s="9" t="n">
        <v>7</v>
      </c>
      <c r="H32" s="9" t="n">
        <v>19.641</v>
      </c>
      <c r="I32" s="9" t="n">
        <v>19.64</v>
      </c>
      <c r="J32" s="9" t="n">
        <v>1</v>
      </c>
      <c r="K32" s="9" t="n">
        <v>9.003</v>
      </c>
      <c r="L32" s="9" t="n">
        <v>35.738</v>
      </c>
    </row>
    <row r="33">
      <c r="A33" s="9" t="inlineStr">
        <is>
          <t>grupo4</t>
        </is>
      </c>
      <c r="B33" s="9" t="inlineStr">
        <is>
          <t>B75 (75%)</t>
        </is>
      </c>
      <c r="C33" s="9" t="inlineStr">
        <is>
          <t>3C_20_80-03</t>
        </is>
      </c>
      <c r="D33" s="9" t="n">
        <v>8317</v>
      </c>
      <c r="E33" s="9" t="n">
        <v>8328</v>
      </c>
      <c r="F33" s="14" t="n">
        <v>0.001322592280870506</v>
      </c>
      <c r="G33" s="9" t="n">
        <v>8</v>
      </c>
      <c r="H33" s="9" t="n">
        <v>121.063</v>
      </c>
      <c r="I33" s="9" t="n">
        <v>121.062</v>
      </c>
      <c r="J33" s="9" t="n">
        <v>1</v>
      </c>
      <c r="K33" s="9" t="n">
        <v>41.028</v>
      </c>
      <c r="L33" s="9" t="n">
        <v>169.439</v>
      </c>
    </row>
    <row r="34">
      <c r="A34" s="9" t="inlineStr">
        <is>
          <t>grupo5</t>
        </is>
      </c>
      <c r="B34" s="9" t="inlineStr">
        <is>
          <t>B100 (100%)</t>
        </is>
      </c>
      <c r="C34" s="9" t="inlineStr">
        <is>
          <t>3C_20_50-02</t>
        </is>
      </c>
      <c r="D34" s="9" t="n">
        <v>10054</v>
      </c>
      <c r="E34" s="9" t="n">
        <v>10054</v>
      </c>
      <c r="F34" s="14" t="n">
        <v>0</v>
      </c>
      <c r="G34" s="9" t="n">
        <v>5</v>
      </c>
      <c r="H34" s="9" t="n">
        <v>44.703</v>
      </c>
      <c r="I34" s="9" t="n">
        <v>44.702</v>
      </c>
      <c r="J34" s="9" t="n">
        <v>1</v>
      </c>
      <c r="K34" s="9" t="n">
        <v>17.998</v>
      </c>
      <c r="L34" s="9" t="n">
        <v>61.404</v>
      </c>
    </row>
    <row r="35">
      <c r="A35" s="9" t="inlineStr">
        <is>
          <t>grupo5</t>
        </is>
      </c>
      <c r="B35" s="9" t="inlineStr">
        <is>
          <t>B100 (100%)</t>
        </is>
      </c>
      <c r="C35" s="9" t="inlineStr">
        <is>
          <t>3C_20_50-03</t>
        </is>
      </c>
      <c r="D35" s="9" t="n">
        <v>8387</v>
      </c>
      <c r="E35" s="9" t="n">
        <v>8387</v>
      </c>
      <c r="F35" s="14" t="n">
        <v>0</v>
      </c>
      <c r="G35" s="9" t="n">
        <v>13</v>
      </c>
      <c r="H35" s="9" t="n">
        <v>29.422</v>
      </c>
      <c r="I35" s="9" t="n">
        <v>29.423</v>
      </c>
      <c r="J35" s="9" t="n">
        <v>1</v>
      </c>
      <c r="K35" s="9" t="n">
        <v>7.316</v>
      </c>
      <c r="L35" s="9" t="n">
        <v>30.993</v>
      </c>
    </row>
    <row r="36">
      <c r="A36" s="9" t="inlineStr">
        <is>
          <t>grupo5</t>
        </is>
      </c>
      <c r="B36" s="9" t="inlineStr">
        <is>
          <t>B100 (100%)</t>
        </is>
      </c>
      <c r="C36" s="9" t="inlineStr">
        <is>
          <t>3C_20_66-01</t>
        </is>
      </c>
      <c r="D36" s="9" t="n">
        <v>14578</v>
      </c>
      <c r="E36" s="9" t="n">
        <v>14578</v>
      </c>
      <c r="F36" s="14" t="n">
        <v>0</v>
      </c>
      <c r="G36" s="9" t="n">
        <v>5</v>
      </c>
      <c r="H36" s="9" t="n">
        <v>14.297</v>
      </c>
      <c r="I36" s="9" t="n">
        <v>14.297</v>
      </c>
      <c r="J36" s="9" t="n">
        <v>1</v>
      </c>
      <c r="K36" s="9" t="n">
        <v>4.545</v>
      </c>
      <c r="L36" s="9" t="n">
        <v>7.322</v>
      </c>
    </row>
    <row r="37">
      <c r="A37" s="9" t="inlineStr">
        <is>
          <t>grupo5</t>
        </is>
      </c>
      <c r="B37" s="9" t="inlineStr">
        <is>
          <t>B100 (100%)</t>
        </is>
      </c>
      <c r="C37" s="9" t="inlineStr">
        <is>
          <t>3C_20_66-02</t>
        </is>
      </c>
      <c r="D37" s="9" t="n">
        <v>10861</v>
      </c>
      <c r="E37" s="9" t="n">
        <v>10861</v>
      </c>
      <c r="F37" s="14" t="n">
        <v>0</v>
      </c>
      <c r="G37" s="9" t="n">
        <v>8</v>
      </c>
      <c r="H37" s="9" t="n">
        <v>151.078</v>
      </c>
      <c r="I37" s="9" t="n">
        <v>151.079</v>
      </c>
      <c r="J37" s="9" t="n">
        <v>1</v>
      </c>
      <c r="K37" s="9" t="n">
        <v>22.384</v>
      </c>
      <c r="L37" s="9" t="n">
        <v>154.245</v>
      </c>
    </row>
    <row r="38">
      <c r="A38" s="9" t="inlineStr">
        <is>
          <t>grupo5</t>
        </is>
      </c>
      <c r="B38" s="9" t="inlineStr">
        <is>
          <t>B100 (100%)</t>
        </is>
      </c>
      <c r="C38" s="9" t="inlineStr">
        <is>
          <t>3C_20_66-03</t>
        </is>
      </c>
      <c r="D38" s="9" t="n">
        <v>8160</v>
      </c>
      <c r="E38" s="9" t="n">
        <v>8160</v>
      </c>
      <c r="F38" s="14" t="n">
        <v>0</v>
      </c>
      <c r="G38" s="9" t="n">
        <v>10</v>
      </c>
      <c r="H38" s="9" t="n">
        <v>117.125</v>
      </c>
      <c r="I38" s="9" t="n">
        <v>117.124</v>
      </c>
      <c r="J38" s="9" t="n">
        <v>1</v>
      </c>
      <c r="K38" s="9" t="n">
        <v>41.314</v>
      </c>
      <c r="L38" s="9" t="n">
        <v>118.34</v>
      </c>
    </row>
    <row r="39">
      <c r="A39" s="9" t="inlineStr">
        <is>
          <t>grupo5</t>
        </is>
      </c>
      <c r="B39" s="9" t="inlineStr">
        <is>
          <t>B100 (100%)</t>
        </is>
      </c>
      <c r="C39" s="9" t="inlineStr">
        <is>
          <t>3C_20_80-01</t>
        </is>
      </c>
      <c r="D39" s="9" t="n">
        <v>12802</v>
      </c>
      <c r="E39" s="9" t="n">
        <v>12802</v>
      </c>
      <c r="F39" s="14" t="n">
        <v>0</v>
      </c>
      <c r="G39" s="9" t="n">
        <v>2</v>
      </c>
      <c r="H39" s="9" t="n">
        <v>11.25</v>
      </c>
      <c r="I39" s="9" t="n">
        <v>11.25</v>
      </c>
      <c r="J39" s="9" t="n">
        <v>1</v>
      </c>
      <c r="K39" s="9" t="n">
        <v>1.711</v>
      </c>
      <c r="L39" s="9" t="n">
        <v>4.194</v>
      </c>
    </row>
    <row r="40">
      <c r="A40" s="9" t="inlineStr">
        <is>
          <t>grupo5</t>
        </is>
      </c>
      <c r="B40" s="9" t="inlineStr">
        <is>
          <t>B100 (100%)</t>
        </is>
      </c>
      <c r="C40" s="9" t="inlineStr">
        <is>
          <t>3C_20_80-02</t>
        </is>
      </c>
      <c r="D40" s="9" t="n">
        <v>10087</v>
      </c>
      <c r="E40" s="9" t="n">
        <v>10087</v>
      </c>
      <c r="F40" s="14" t="n">
        <v>0</v>
      </c>
      <c r="G40" s="9" t="n">
        <v>7</v>
      </c>
      <c r="H40" s="9" t="n">
        <v>16.703</v>
      </c>
      <c r="I40" s="9" t="n">
        <v>16.702</v>
      </c>
      <c r="J40" s="9" t="n">
        <v>1</v>
      </c>
      <c r="K40" s="9" t="n">
        <v>11.861</v>
      </c>
      <c r="L40" s="9" t="n">
        <v>35.738</v>
      </c>
    </row>
    <row r="41">
      <c r="A41" s="9" t="inlineStr">
        <is>
          <t>grupo5</t>
        </is>
      </c>
      <c r="B41" s="9" t="inlineStr">
        <is>
          <t>B100 (100%)</t>
        </is>
      </c>
      <c r="C41" s="9" t="inlineStr">
        <is>
          <t>3C_20_80-03</t>
        </is>
      </c>
      <c r="D41" s="9" t="n">
        <v>8317</v>
      </c>
      <c r="E41" s="9" t="n">
        <v>8317</v>
      </c>
      <c r="F41" s="14" t="n">
        <v>0</v>
      </c>
      <c r="G41" s="9" t="n">
        <v>4</v>
      </c>
      <c r="H41" s="9" t="n">
        <v>19.75</v>
      </c>
      <c r="I41" s="9" t="n">
        <v>19.75</v>
      </c>
      <c r="J41" s="9" t="n">
        <v>1</v>
      </c>
      <c r="K41" s="9" t="n">
        <v>67.56399999999999</v>
      </c>
      <c r="L41" s="9" t="n">
        <v>169.439</v>
      </c>
    </row>
    <row r="43">
      <c r="A43" t="inlineStr">
        <is>
          <t>Nota: 'Tiempo CPLEX (s)' usa el BudgetUsed acumulado de la última secuencia de llamadas por instancia (criterio de la tesis). 'Suma bruta TimeUsed' suma todas las filas atribuidas al individuo; difiere solo cuando 'Secuencias registradas' &gt; 1, lo que ocurre porque el logger es un singleton compartido por los 6 hilos de evaluación (evalthreads=6) y puede atribuir llamadas de otro individuo concurrente. Tiempos CPLEX en CPU (ClockType=1, Threads=2); tiempo de evaluación y baseline en reloj de pared.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2026-09-08T20:57:27Z</dcterms:created>
  <dcterms:modified xmlns:dcterms="http://purl.org/dc/terms/" xmlns:xsi="http://www.w3.org/2001/XMLSchema-instance" xsi:type="dcterms:W3CDTF">2026-09-08T20:57:27Z</dcterms:modified>
</cp:coreProperties>
</file>